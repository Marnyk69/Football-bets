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8b2a280dfd248/Documents/"/>
    </mc:Choice>
  </mc:AlternateContent>
  <xr:revisionPtr revIDLastSave="29" documentId="8_{56AA8942-97F9-41A1-A1F8-9C62E2F65285}" xr6:coauthVersionLast="47" xr6:coauthVersionMax="47" xr10:uidLastSave="{4ABC9848-DC92-40DD-A5CD-B3AA37299943}"/>
  <bookViews>
    <workbookView xWindow="-110" yWindow="-110" windowWidth="25820" windowHeight="13900" xr2:uid="{5DFFA7A6-8E49-4370-9A0A-613DC0065807}"/>
  </bookViews>
  <sheets>
    <sheet name="List1" sheetId="1" r:id="rId1"/>
  </sheets>
  <definedNames>
    <definedName name="_xlnm._FilterDatabase" localSheetId="0" hidden="1">List1!$B$1:$T$12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B33" i="1"/>
</calcChain>
</file>

<file path=xl/sharedStrings.xml><?xml version="1.0" encoding="utf-8"?>
<sst xmlns="http://schemas.openxmlformats.org/spreadsheetml/2006/main" count="51" uniqueCount="32">
  <si>
    <t>Month</t>
  </si>
  <si>
    <t>IsWeekend</t>
  </si>
  <si>
    <t>logit_over25</t>
  </si>
  <si>
    <t>B365H</t>
  </si>
  <si>
    <t>B365D</t>
  </si>
  <si>
    <t>B365A</t>
  </si>
  <si>
    <t>DaysFromSeasonStart</t>
  </si>
  <si>
    <t>DaysSinceLastMatchHome</t>
  </si>
  <si>
    <t>DaysSinceLastMatchAway</t>
  </si>
  <si>
    <t>DaysSinceLastMatchDiff</t>
  </si>
  <si>
    <t>AvgLast5GoalsAgg</t>
  </si>
  <si>
    <t>AvgLast5HomeGoals</t>
  </si>
  <si>
    <t>AvgLast5AwayGoals</t>
  </si>
  <si>
    <t>AvgLast5HomeConceded</t>
  </si>
  <si>
    <t>AvgLast5AwayConceded</t>
  </si>
  <si>
    <t>HomeTeam</t>
  </si>
  <si>
    <t>AwayTeam</t>
  </si>
  <si>
    <t>League</t>
  </si>
  <si>
    <t>Referee_encoded</t>
  </si>
  <si>
    <t>belgium</t>
  </si>
  <si>
    <t>england</t>
  </si>
  <si>
    <t>france</t>
  </si>
  <si>
    <t>germany</t>
  </si>
  <si>
    <t>greece</t>
  </si>
  <si>
    <t>italy</t>
  </si>
  <si>
    <t>netherlands</t>
  </si>
  <si>
    <t>portugal</t>
  </si>
  <si>
    <t>scotland</t>
  </si>
  <si>
    <t>spain</t>
  </si>
  <si>
    <t>turkey</t>
  </si>
  <si>
    <t>Country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</si>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</sst>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7"/>
      <color rgb="FFDCDCDC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69" fontId="0" fillId="0" borderId="0" xfId="0" applyNumberFormat="1"/>
    <xf numFmtId="169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A1B3-3B33-4D5E-90B0-93459D716AED}">
  <dimension ref="A1:T33"/>
  <sheetViews>
    <sheetView tabSelected="1" topLeftCell="A10" workbookViewId="0">
      <selection activeCell="F38" sqref="F38"/>
    </sheetView>
  </sheetViews>
  <sheetFormatPr defaultRowHeight="14.5" x14ac:dyDescent="0.35"/>
  <sheetData>
    <row r="1" spans="2:2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2:20" x14ac:dyDescent="0.35">
      <c r="B2">
        <v>4.8755925148725503E-2</v>
      </c>
      <c r="C2">
        <v>6.9047525525092995E-2</v>
      </c>
      <c r="D2">
        <v>5.1347326487302697E-2</v>
      </c>
      <c r="E2">
        <v>5.2154175937175702E-2</v>
      </c>
      <c r="F2">
        <v>0.127846419811248</v>
      </c>
      <c r="G2">
        <v>4.2956873774528503E-2</v>
      </c>
      <c r="H2">
        <v>5.5173955857753698E-2</v>
      </c>
      <c r="I2">
        <v>4.8555146902799599E-2</v>
      </c>
      <c r="J2">
        <v>4.8527229577302898E-2</v>
      </c>
      <c r="K2">
        <v>3.5710487514734199E-2</v>
      </c>
      <c r="L2">
        <v>4.4811975210904999E-2</v>
      </c>
      <c r="M2">
        <v>5.4672650992870303E-2</v>
      </c>
      <c r="N2">
        <v>5.7530578225851003E-2</v>
      </c>
      <c r="O2">
        <v>5.1948335021734203E-2</v>
      </c>
      <c r="P2">
        <v>4.5619148761033998E-2</v>
      </c>
      <c r="Q2">
        <v>9.8455302417278207E-2</v>
      </c>
      <c r="R2">
        <v>6.6886901855468694E-2</v>
      </c>
      <c r="S2">
        <v>0</v>
      </c>
    </row>
    <row r="3" spans="2:20" x14ac:dyDescent="0.35">
      <c r="B3">
        <v>4.6074215322732898E-2</v>
      </c>
      <c r="C3">
        <v>4.7693423926830202E-2</v>
      </c>
      <c r="D3">
        <v>4.5481771230697597E-2</v>
      </c>
      <c r="E3">
        <v>4.7097034752368899E-2</v>
      </c>
      <c r="F3">
        <v>4.5199088752269703E-2</v>
      </c>
      <c r="G3">
        <v>4.5564576983451802E-2</v>
      </c>
      <c r="H3">
        <v>4.7933839261531802E-2</v>
      </c>
      <c r="I3">
        <v>4.3621327728033003E-2</v>
      </c>
      <c r="J3">
        <v>4.5276764780282898E-2</v>
      </c>
      <c r="K3">
        <v>4.0906827896833399E-2</v>
      </c>
      <c r="L3">
        <v>4.7699153423309298E-2</v>
      </c>
      <c r="M3">
        <v>4.59405295550823E-2</v>
      </c>
      <c r="N3">
        <v>4.6348914504051202E-2</v>
      </c>
      <c r="O3">
        <v>4.53001447021961E-2</v>
      </c>
      <c r="P3">
        <v>4.9809735268354402E-2</v>
      </c>
      <c r="Q3">
        <v>9.9723905324935899E-2</v>
      </c>
      <c r="R3">
        <v>0.121789820492267</v>
      </c>
      <c r="S3">
        <v>4.3477080762386301E-2</v>
      </c>
    </row>
    <row r="4" spans="2:20" x14ac:dyDescent="0.35">
      <c r="B4">
        <v>4.2863678187131798E-2</v>
      </c>
      <c r="C4">
        <v>3.0565021559595999E-2</v>
      </c>
      <c r="D4">
        <v>4.9895994365215302E-2</v>
      </c>
      <c r="E4">
        <v>4.0170215070247602E-2</v>
      </c>
      <c r="F4">
        <v>5.1919329911470399E-2</v>
      </c>
      <c r="G4">
        <v>4.2077343910932499E-2</v>
      </c>
      <c r="H4">
        <v>4.4858522713184301E-2</v>
      </c>
      <c r="I4">
        <v>3.9482839405536603E-2</v>
      </c>
      <c r="J4">
        <v>3.9942249655723502E-2</v>
      </c>
      <c r="K4">
        <v>5.3809445351362201E-2</v>
      </c>
      <c r="L4">
        <v>4.3610297143459299E-2</v>
      </c>
      <c r="M4">
        <v>6.3330911099910694E-2</v>
      </c>
      <c r="N4">
        <v>5.6467719376087099E-2</v>
      </c>
      <c r="O4">
        <v>4.3773353099822998E-2</v>
      </c>
      <c r="P4">
        <v>5.4741408675909001E-2</v>
      </c>
      <c r="Q4">
        <v>0.13783976435661299</v>
      </c>
      <c r="R4">
        <v>0.16465190052986101</v>
      </c>
      <c r="S4">
        <v>0</v>
      </c>
    </row>
    <row r="5" spans="2:20" x14ac:dyDescent="0.35">
      <c r="B5">
        <v>5.6641519069671603E-2</v>
      </c>
      <c r="C5">
        <v>4.5649342238902997E-2</v>
      </c>
      <c r="D5">
        <v>5.6782215833663899E-2</v>
      </c>
      <c r="E5">
        <v>4.00982685387134E-2</v>
      </c>
      <c r="F5">
        <v>4.54409904778003E-2</v>
      </c>
      <c r="G5">
        <v>4.1655719280242899E-2</v>
      </c>
      <c r="H5">
        <v>5.30654676258564E-2</v>
      </c>
      <c r="I5">
        <v>4.7599416226148598E-2</v>
      </c>
      <c r="J5">
        <v>5.8621089905500398E-2</v>
      </c>
      <c r="K5">
        <v>6.25605508685112E-2</v>
      </c>
      <c r="L5">
        <v>5.11782951653003E-2</v>
      </c>
      <c r="M5">
        <v>4.9265559762716203E-2</v>
      </c>
      <c r="N5">
        <v>4.84826080501079E-2</v>
      </c>
      <c r="O5">
        <v>5.1748625934123903E-2</v>
      </c>
      <c r="P5">
        <v>4.7697227448225001E-2</v>
      </c>
      <c r="Q5">
        <v>0.12373873591423</v>
      </c>
      <c r="R5">
        <v>7.8897915780544198E-2</v>
      </c>
      <c r="S5">
        <v>4.0876463055610601E-2</v>
      </c>
    </row>
    <row r="6" spans="2:20" x14ac:dyDescent="0.35">
      <c r="B6">
        <v>5.6189361959695802E-2</v>
      </c>
      <c r="C6">
        <v>0</v>
      </c>
      <c r="D6">
        <v>4.7281984239816603E-2</v>
      </c>
      <c r="E6">
        <v>4.4607490301132202E-2</v>
      </c>
      <c r="F6">
        <v>5.60248605906963E-2</v>
      </c>
      <c r="G6">
        <v>7.0580631494522095E-2</v>
      </c>
      <c r="H6">
        <v>6.3251592218875802E-2</v>
      </c>
      <c r="I6">
        <v>5.2797835320234299E-2</v>
      </c>
      <c r="J6">
        <v>5.3209394216537399E-2</v>
      </c>
      <c r="K6">
        <v>4.0983948856592102E-2</v>
      </c>
      <c r="L6">
        <v>8.7976232171058599E-2</v>
      </c>
      <c r="M6">
        <v>6.9212935864925301E-2</v>
      </c>
      <c r="N6">
        <v>4.3647989630699102E-2</v>
      </c>
      <c r="O6">
        <v>7.4603423476219094E-2</v>
      </c>
      <c r="P6">
        <v>6.4491264522075598E-2</v>
      </c>
      <c r="Q6">
        <v>7.6150156557559898E-2</v>
      </c>
      <c r="R6">
        <v>9.8990865051746299E-2</v>
      </c>
      <c r="S6">
        <v>0</v>
      </c>
    </row>
    <row r="7" spans="2:20" x14ac:dyDescent="0.35">
      <c r="B7">
        <v>3.90748009085655E-2</v>
      </c>
      <c r="C7">
        <v>3.5386618226766503E-2</v>
      </c>
      <c r="D7">
        <v>5.51322922110557E-2</v>
      </c>
      <c r="E7">
        <v>4.88471761345863E-2</v>
      </c>
      <c r="F7">
        <v>4.11797873675823E-2</v>
      </c>
      <c r="G7">
        <v>3.2647311687469399E-2</v>
      </c>
      <c r="H7">
        <v>4.1180312633514397E-2</v>
      </c>
      <c r="I7">
        <v>4.3214105069637299E-2</v>
      </c>
      <c r="J7">
        <v>5.1400158554315498E-2</v>
      </c>
      <c r="K7">
        <v>7.60180428624153E-2</v>
      </c>
      <c r="L7">
        <v>3.4871507436037001E-2</v>
      </c>
      <c r="M7">
        <v>4.7424294054508202E-2</v>
      </c>
      <c r="N7">
        <v>6.1342030763626099E-2</v>
      </c>
      <c r="O7">
        <v>4.5217178761959E-2</v>
      </c>
      <c r="P7">
        <v>5.0249811261892298E-2</v>
      </c>
      <c r="Q7">
        <v>0.100746467709541</v>
      </c>
      <c r="R7">
        <v>0.15988002717494901</v>
      </c>
      <c r="S7">
        <v>3.6188021302223199E-2</v>
      </c>
    </row>
    <row r="8" spans="2:20" x14ac:dyDescent="0.35">
      <c r="B8">
        <v>5.3574945777654599E-2</v>
      </c>
      <c r="C8">
        <v>4.7700390219688402E-2</v>
      </c>
      <c r="D8">
        <v>4.7587282955646501E-2</v>
      </c>
      <c r="E8">
        <v>4.8961188644170699E-2</v>
      </c>
      <c r="F8">
        <v>6.3711151480674702E-2</v>
      </c>
      <c r="G8">
        <v>5.2208185195922803E-2</v>
      </c>
      <c r="H8">
        <v>4.5364711433649001E-2</v>
      </c>
      <c r="I8">
        <v>3.7909135222434998E-2</v>
      </c>
      <c r="J8">
        <v>6.3181139528751304E-2</v>
      </c>
      <c r="K8">
        <v>5.3203072398900902E-2</v>
      </c>
      <c r="L8">
        <v>4.9348905682563698E-2</v>
      </c>
      <c r="M8">
        <v>5.4389700293540899E-2</v>
      </c>
      <c r="N8">
        <v>3.7387993186712203E-2</v>
      </c>
      <c r="O8">
        <v>5.8866515755653298E-2</v>
      </c>
      <c r="P8">
        <v>6.5658561885356903E-2</v>
      </c>
      <c r="Q8">
        <v>0.11228542774915599</v>
      </c>
      <c r="R8">
        <v>0.108661696314811</v>
      </c>
      <c r="S8">
        <v>0</v>
      </c>
    </row>
    <row r="9" spans="2:20" x14ac:dyDescent="0.35">
      <c r="B9">
        <v>5.8330077677965102E-2</v>
      </c>
      <c r="C9">
        <v>0</v>
      </c>
      <c r="D9">
        <v>4.9627080559730502E-2</v>
      </c>
      <c r="E9">
        <v>2.6514364406466401E-2</v>
      </c>
      <c r="F9">
        <v>0.152700215578079</v>
      </c>
      <c r="G9">
        <v>4.8847261816263199E-2</v>
      </c>
      <c r="H9">
        <v>4.8623867332935299E-2</v>
      </c>
      <c r="I9">
        <v>4.08814437687397E-2</v>
      </c>
      <c r="J9">
        <v>8.6097508668899494E-2</v>
      </c>
      <c r="K9">
        <v>4.1180286556482301E-2</v>
      </c>
      <c r="L9">
        <v>8.3020962774753501E-2</v>
      </c>
      <c r="M9">
        <v>5.4894473403692197E-2</v>
      </c>
      <c r="N9">
        <v>4.7930434346199001E-2</v>
      </c>
      <c r="O9">
        <v>4.6969152987003299E-2</v>
      </c>
      <c r="P9">
        <v>4.74793203175067E-2</v>
      </c>
      <c r="Q9">
        <v>7.1688257157802499E-2</v>
      </c>
      <c r="R9">
        <v>9.5215253531932803E-2</v>
      </c>
      <c r="S9">
        <v>0</v>
      </c>
    </row>
    <row r="10" spans="2:20" x14ac:dyDescent="0.35">
      <c r="B10">
        <v>3.2284338027238797E-2</v>
      </c>
      <c r="C10">
        <v>0</v>
      </c>
      <c r="D10">
        <v>4.1588753461837699E-2</v>
      </c>
      <c r="E10">
        <v>4.79775816202163E-2</v>
      </c>
      <c r="F10">
        <v>5.26201128959655E-2</v>
      </c>
      <c r="G10">
        <v>5.3638815879821701E-2</v>
      </c>
      <c r="H10">
        <v>4.5350659638643202E-2</v>
      </c>
      <c r="I10">
        <v>3.6019254475831902E-2</v>
      </c>
      <c r="J10">
        <v>6.1529178172349902E-2</v>
      </c>
      <c r="K10">
        <v>6.0399137437343597E-2</v>
      </c>
      <c r="L10">
        <v>4.2234882712364197E-2</v>
      </c>
      <c r="M10">
        <v>4.1683498769998502E-2</v>
      </c>
      <c r="N10">
        <v>5.07066920399665E-2</v>
      </c>
      <c r="O10">
        <v>6.3531391322612707E-2</v>
      </c>
      <c r="P10">
        <v>5.0004865974187802E-2</v>
      </c>
      <c r="Q10">
        <v>0.14335274696350001</v>
      </c>
      <c r="R10">
        <v>0.105687201023101</v>
      </c>
      <c r="S10">
        <v>2.5073217228055E-2</v>
      </c>
    </row>
    <row r="11" spans="2:20" x14ac:dyDescent="0.35">
      <c r="B11">
        <v>2.4633441120386099E-2</v>
      </c>
      <c r="C11">
        <v>6.3685141503810799E-2</v>
      </c>
      <c r="D11">
        <v>4.2133241891860899E-2</v>
      </c>
      <c r="E11">
        <v>4.61321137845516E-2</v>
      </c>
      <c r="F11">
        <v>5.3538408130407299E-2</v>
      </c>
      <c r="G11">
        <v>4.8240512609481798E-2</v>
      </c>
      <c r="H11">
        <v>4.4095944613218301E-2</v>
      </c>
      <c r="I11">
        <v>4.2832728475332198E-2</v>
      </c>
      <c r="J11">
        <v>3.07889878749847E-2</v>
      </c>
      <c r="K11">
        <v>5.1202870905399302E-2</v>
      </c>
      <c r="L11">
        <v>3.9389472454786301E-2</v>
      </c>
      <c r="M11">
        <v>4.7991074621677399E-2</v>
      </c>
      <c r="N11">
        <v>6.2089838087558698E-2</v>
      </c>
      <c r="O11">
        <v>4.9621410667896201E-2</v>
      </c>
      <c r="P11">
        <v>4.2673073709011002E-2</v>
      </c>
      <c r="Q11">
        <v>0.14512445032596499</v>
      </c>
      <c r="R11">
        <v>0.137429729104042</v>
      </c>
      <c r="S11">
        <v>2.83975284546613E-2</v>
      </c>
    </row>
    <row r="12" spans="2:20" x14ac:dyDescent="0.35">
      <c r="B12">
        <v>4.2760752141475601E-2</v>
      </c>
      <c r="C12">
        <v>8.7081491947174003E-3</v>
      </c>
      <c r="D12">
        <v>0.21198244392871801</v>
      </c>
      <c r="E12">
        <v>5.6648064404726001E-2</v>
      </c>
      <c r="F12">
        <v>6.8516612052917397E-2</v>
      </c>
      <c r="G12">
        <v>7.7253051102161394E-2</v>
      </c>
      <c r="H12">
        <v>4.2694661766290602E-2</v>
      </c>
      <c r="I12">
        <v>4.2273100465536097E-2</v>
      </c>
      <c r="J12">
        <v>2.8217464685440001E-2</v>
      </c>
      <c r="K12">
        <v>3.0956704169511701E-2</v>
      </c>
      <c r="L12">
        <v>5.0611168146133402E-2</v>
      </c>
      <c r="M12">
        <v>5.8941025286912897E-2</v>
      </c>
      <c r="N12">
        <v>5.4212860763072898E-2</v>
      </c>
      <c r="O12">
        <v>4.4426269829273203E-2</v>
      </c>
      <c r="P12">
        <v>4.3608460575342102E-2</v>
      </c>
      <c r="Q12">
        <v>6.0315806418657303E-2</v>
      </c>
      <c r="R12">
        <v>7.7873520553112002E-2</v>
      </c>
      <c r="S12">
        <v>0</v>
      </c>
    </row>
    <row r="16" spans="2:20" x14ac:dyDescent="0.35">
      <c r="B16" s="2"/>
    </row>
    <row r="20" spans="1:20" x14ac:dyDescent="0.35">
      <c r="A20" t="s">
        <v>30</v>
      </c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  <c r="K20" s="1" t="s">
        <v>9</v>
      </c>
      <c r="L20" s="1" t="s">
        <v>10</v>
      </c>
      <c r="M20" s="1" t="s">
        <v>11</v>
      </c>
      <c r="N20" s="1" t="s">
        <v>12</v>
      </c>
      <c r="O20" s="1" t="s">
        <v>13</v>
      </c>
      <c r="P20" s="1" t="s">
        <v>14</v>
      </c>
      <c r="Q20" s="1" t="s">
        <v>15</v>
      </c>
      <c r="R20" s="1" t="s">
        <v>16</v>
      </c>
      <c r="S20" s="1" t="s">
        <v>17</v>
      </c>
      <c r="T20" s="1" t="s">
        <v>18</v>
      </c>
    </row>
    <row r="21" spans="1:20" x14ac:dyDescent="0.35">
      <c r="A21" s="1" t="s">
        <v>19</v>
      </c>
      <c r="B21" s="3">
        <v>4.8755925148725503E-2</v>
      </c>
      <c r="C21" s="3">
        <v>6.9047525525092995E-2</v>
      </c>
      <c r="D21" s="3">
        <v>5.1347326487302697E-2</v>
      </c>
      <c r="E21" s="3">
        <v>5.2154175937175702E-2</v>
      </c>
      <c r="F21" s="3">
        <v>0.127846419811248</v>
      </c>
      <c r="G21" s="3">
        <v>4.2956873774528503E-2</v>
      </c>
      <c r="H21" s="3">
        <v>5.5173955857753698E-2</v>
      </c>
      <c r="I21" s="3">
        <v>4.8555146902799599E-2</v>
      </c>
      <c r="J21" s="3">
        <v>4.8527229577302898E-2</v>
      </c>
      <c r="K21" s="3">
        <v>3.5710487514734199E-2</v>
      </c>
      <c r="L21" s="3">
        <v>4.4811975210904999E-2</v>
      </c>
      <c r="M21" s="3">
        <v>5.4672650992870303E-2</v>
      </c>
      <c r="N21" s="3">
        <v>5.7530578225851003E-2</v>
      </c>
      <c r="O21" s="3">
        <v>5.1948335021734203E-2</v>
      </c>
      <c r="P21" s="3">
        <v>4.5619148761033998E-2</v>
      </c>
      <c r="Q21" s="3">
        <v>9.8455302417278207E-2</v>
      </c>
      <c r="R21" s="3">
        <v>6.6886901855468694E-2</v>
      </c>
      <c r="S21" s="3">
        <v>0</v>
      </c>
    </row>
    <row r="22" spans="1:20" x14ac:dyDescent="0.35">
      <c r="A22" s="1" t="s">
        <v>20</v>
      </c>
      <c r="B22" s="3">
        <v>4.6074215322732898E-2</v>
      </c>
      <c r="C22" s="3">
        <v>4.7693423926830202E-2</v>
      </c>
      <c r="D22" s="3">
        <v>4.5481771230697597E-2</v>
      </c>
      <c r="E22" s="3">
        <v>4.7097034752368899E-2</v>
      </c>
      <c r="F22" s="3">
        <v>4.5199088752269703E-2</v>
      </c>
      <c r="G22" s="3">
        <v>4.5564576983451802E-2</v>
      </c>
      <c r="H22" s="3">
        <v>4.7933839261531802E-2</v>
      </c>
      <c r="I22" s="3">
        <v>4.3621327728033003E-2</v>
      </c>
      <c r="J22" s="3">
        <v>4.5276764780282898E-2</v>
      </c>
      <c r="K22" s="3">
        <v>4.0906827896833399E-2</v>
      </c>
      <c r="L22" s="3">
        <v>4.7699153423309298E-2</v>
      </c>
      <c r="M22" s="3">
        <v>4.59405295550823E-2</v>
      </c>
      <c r="N22" s="3">
        <v>4.6348914504051202E-2</v>
      </c>
      <c r="O22" s="3">
        <v>4.53001447021961E-2</v>
      </c>
      <c r="P22" s="3">
        <v>4.9809735268354402E-2</v>
      </c>
      <c r="Q22" s="3">
        <v>9.9723905324935899E-2</v>
      </c>
      <c r="R22" s="3">
        <v>0.121789820492267</v>
      </c>
      <c r="S22" s="3">
        <v>4.3477080762386301E-2</v>
      </c>
    </row>
    <row r="23" spans="1:20" x14ac:dyDescent="0.35">
      <c r="A23" s="1" t="s">
        <v>21</v>
      </c>
      <c r="B23" s="3">
        <v>4.2863678187131798E-2</v>
      </c>
      <c r="C23" s="3">
        <v>3.0565021559595999E-2</v>
      </c>
      <c r="D23" s="3">
        <v>4.9895994365215302E-2</v>
      </c>
      <c r="E23" s="3">
        <v>4.0170215070247602E-2</v>
      </c>
      <c r="F23" s="3">
        <v>5.1919329911470399E-2</v>
      </c>
      <c r="G23" s="3">
        <v>4.2077343910932499E-2</v>
      </c>
      <c r="H23" s="3">
        <v>4.4858522713184301E-2</v>
      </c>
      <c r="I23" s="3">
        <v>3.9482839405536603E-2</v>
      </c>
      <c r="J23" s="3">
        <v>3.9942249655723502E-2</v>
      </c>
      <c r="K23" s="3">
        <v>5.3809445351362201E-2</v>
      </c>
      <c r="L23" s="3">
        <v>4.3610297143459299E-2</v>
      </c>
      <c r="M23" s="3">
        <v>6.3330911099910694E-2</v>
      </c>
      <c r="N23" s="3">
        <v>5.6467719376087099E-2</v>
      </c>
      <c r="O23" s="3">
        <v>4.3773353099822998E-2</v>
      </c>
      <c r="P23" s="3">
        <v>5.4741408675909001E-2</v>
      </c>
      <c r="Q23" s="3">
        <v>0.13783976435661299</v>
      </c>
      <c r="R23" s="3">
        <v>0.16465190052986101</v>
      </c>
      <c r="S23" s="3">
        <v>0</v>
      </c>
    </row>
    <row r="24" spans="1:20" x14ac:dyDescent="0.35">
      <c r="A24" s="1" t="s">
        <v>22</v>
      </c>
      <c r="B24" s="3">
        <v>5.6641519069671603E-2</v>
      </c>
      <c r="C24" s="3">
        <v>4.5649342238902997E-2</v>
      </c>
      <c r="D24" s="3">
        <v>5.6782215833663899E-2</v>
      </c>
      <c r="E24" s="3">
        <v>4.00982685387134E-2</v>
      </c>
      <c r="F24" s="3">
        <v>4.54409904778003E-2</v>
      </c>
      <c r="G24" s="3">
        <v>4.1655719280242899E-2</v>
      </c>
      <c r="H24" s="3">
        <v>5.30654676258564E-2</v>
      </c>
      <c r="I24" s="3">
        <v>4.7599416226148598E-2</v>
      </c>
      <c r="J24" s="3">
        <v>5.8621089905500398E-2</v>
      </c>
      <c r="K24" s="3">
        <v>6.25605508685112E-2</v>
      </c>
      <c r="L24" s="3">
        <v>5.11782951653003E-2</v>
      </c>
      <c r="M24" s="3">
        <v>4.9265559762716203E-2</v>
      </c>
      <c r="N24" s="3">
        <v>4.84826080501079E-2</v>
      </c>
      <c r="O24" s="3">
        <v>5.1748625934123903E-2</v>
      </c>
      <c r="P24" s="3">
        <v>4.7697227448225001E-2</v>
      </c>
      <c r="Q24" s="3">
        <v>0.12373873591423</v>
      </c>
      <c r="R24" s="3">
        <v>7.8897915780544198E-2</v>
      </c>
      <c r="S24" s="3">
        <v>4.0876463055610601E-2</v>
      </c>
    </row>
    <row r="25" spans="1:20" x14ac:dyDescent="0.35">
      <c r="A25" s="1" t="s">
        <v>23</v>
      </c>
      <c r="B25" s="3">
        <v>5.6189361959695802E-2</v>
      </c>
      <c r="C25" s="3">
        <v>0</v>
      </c>
      <c r="D25" s="3">
        <v>4.7281984239816603E-2</v>
      </c>
      <c r="E25" s="3">
        <v>4.4607490301132202E-2</v>
      </c>
      <c r="F25" s="3">
        <v>5.60248605906963E-2</v>
      </c>
      <c r="G25" s="3">
        <v>7.0580631494522095E-2</v>
      </c>
      <c r="H25" s="3">
        <v>6.3251592218875802E-2</v>
      </c>
      <c r="I25" s="3">
        <v>5.2797835320234299E-2</v>
      </c>
      <c r="J25" s="3">
        <v>5.3209394216537399E-2</v>
      </c>
      <c r="K25" s="3">
        <v>4.0983948856592102E-2</v>
      </c>
      <c r="L25" s="3">
        <v>8.7976232171058599E-2</v>
      </c>
      <c r="M25" s="3">
        <v>6.9212935864925301E-2</v>
      </c>
      <c r="N25" s="3">
        <v>4.3647989630699102E-2</v>
      </c>
      <c r="O25" s="3">
        <v>7.4603423476219094E-2</v>
      </c>
      <c r="P25" s="3">
        <v>6.4491264522075598E-2</v>
      </c>
      <c r="Q25" s="3">
        <v>7.6150156557559898E-2</v>
      </c>
      <c r="R25" s="3">
        <v>9.8990865051746299E-2</v>
      </c>
      <c r="S25" s="3">
        <v>0</v>
      </c>
    </row>
    <row r="26" spans="1:20" x14ac:dyDescent="0.35">
      <c r="A26" s="1" t="s">
        <v>24</v>
      </c>
      <c r="B26" s="3">
        <v>3.90748009085655E-2</v>
      </c>
      <c r="C26" s="3">
        <v>3.5386618226766503E-2</v>
      </c>
      <c r="D26" s="3">
        <v>5.51322922110557E-2</v>
      </c>
      <c r="E26" s="3">
        <v>4.88471761345863E-2</v>
      </c>
      <c r="F26" s="3">
        <v>4.11797873675823E-2</v>
      </c>
      <c r="G26" s="3">
        <v>3.2647311687469399E-2</v>
      </c>
      <c r="H26" s="3">
        <v>4.1180312633514397E-2</v>
      </c>
      <c r="I26" s="3">
        <v>4.3214105069637299E-2</v>
      </c>
      <c r="J26" s="3">
        <v>5.1400158554315498E-2</v>
      </c>
      <c r="K26" s="3">
        <v>7.60180428624153E-2</v>
      </c>
      <c r="L26" s="3">
        <v>3.4871507436037001E-2</v>
      </c>
      <c r="M26" s="3">
        <v>4.7424294054508202E-2</v>
      </c>
      <c r="N26" s="3">
        <v>6.1342030763626099E-2</v>
      </c>
      <c r="O26" s="3">
        <v>4.5217178761959E-2</v>
      </c>
      <c r="P26" s="3">
        <v>5.0249811261892298E-2</v>
      </c>
      <c r="Q26" s="3">
        <v>0.100746467709541</v>
      </c>
      <c r="R26" s="3">
        <v>0.15988002717494901</v>
      </c>
      <c r="S26" s="3">
        <v>3.6188021302223199E-2</v>
      </c>
    </row>
    <row r="27" spans="1:20" x14ac:dyDescent="0.35">
      <c r="A27" s="1" t="s">
        <v>25</v>
      </c>
      <c r="B27" s="3">
        <v>5.3574945777654599E-2</v>
      </c>
      <c r="C27" s="3">
        <v>4.7700390219688402E-2</v>
      </c>
      <c r="D27" s="3">
        <v>4.7587282955646501E-2</v>
      </c>
      <c r="E27" s="3">
        <v>4.8961188644170699E-2</v>
      </c>
      <c r="F27" s="3">
        <v>6.3711151480674702E-2</v>
      </c>
      <c r="G27" s="3">
        <v>5.2208185195922803E-2</v>
      </c>
      <c r="H27" s="3">
        <v>4.5364711433649001E-2</v>
      </c>
      <c r="I27" s="3">
        <v>3.7909135222434998E-2</v>
      </c>
      <c r="J27" s="3">
        <v>6.3181139528751304E-2</v>
      </c>
      <c r="K27" s="3">
        <v>5.3203072398900902E-2</v>
      </c>
      <c r="L27" s="3">
        <v>4.9348905682563698E-2</v>
      </c>
      <c r="M27" s="3">
        <v>5.4389700293540899E-2</v>
      </c>
      <c r="N27" s="3">
        <v>3.7387993186712203E-2</v>
      </c>
      <c r="O27" s="3">
        <v>5.8866515755653298E-2</v>
      </c>
      <c r="P27" s="3">
        <v>6.5658561885356903E-2</v>
      </c>
      <c r="Q27" s="3">
        <v>0.11228542774915599</v>
      </c>
      <c r="R27" s="3">
        <v>0.108661696314811</v>
      </c>
      <c r="S27" s="3">
        <v>0</v>
      </c>
    </row>
    <row r="28" spans="1:20" x14ac:dyDescent="0.35">
      <c r="A28" s="1" t="s">
        <v>26</v>
      </c>
      <c r="B28" s="3">
        <v>5.8330077677965102E-2</v>
      </c>
      <c r="C28" s="3">
        <v>0</v>
      </c>
      <c r="D28" s="3">
        <v>4.9627080559730502E-2</v>
      </c>
      <c r="E28" s="3">
        <v>2.6514364406466401E-2</v>
      </c>
      <c r="F28" s="3">
        <v>0.152700215578079</v>
      </c>
      <c r="G28" s="3">
        <v>4.8847261816263199E-2</v>
      </c>
      <c r="H28" s="3">
        <v>4.8623867332935299E-2</v>
      </c>
      <c r="I28" s="3">
        <v>4.08814437687397E-2</v>
      </c>
      <c r="J28" s="3">
        <v>8.6097508668899494E-2</v>
      </c>
      <c r="K28" s="3">
        <v>4.1180286556482301E-2</v>
      </c>
      <c r="L28" s="3">
        <v>8.3020962774753501E-2</v>
      </c>
      <c r="M28" s="3">
        <v>5.4894473403692197E-2</v>
      </c>
      <c r="N28" s="3">
        <v>4.7930434346199001E-2</v>
      </c>
      <c r="O28" s="3">
        <v>4.6969152987003299E-2</v>
      </c>
      <c r="P28" s="3">
        <v>4.74793203175067E-2</v>
      </c>
      <c r="Q28" s="3">
        <v>7.1688257157802499E-2</v>
      </c>
      <c r="R28" s="3">
        <v>9.5215253531932803E-2</v>
      </c>
      <c r="S28" s="3">
        <v>0</v>
      </c>
    </row>
    <row r="29" spans="1:20" x14ac:dyDescent="0.35">
      <c r="A29" s="1" t="s">
        <v>27</v>
      </c>
      <c r="B29" s="3">
        <v>3.2284338027238797E-2</v>
      </c>
      <c r="C29" s="3">
        <v>0</v>
      </c>
      <c r="D29" s="3">
        <v>4.1588753461837699E-2</v>
      </c>
      <c r="E29" s="3">
        <v>4.79775816202163E-2</v>
      </c>
      <c r="F29" s="3">
        <v>5.26201128959655E-2</v>
      </c>
      <c r="G29" s="3">
        <v>5.3638815879821701E-2</v>
      </c>
      <c r="H29" s="3">
        <v>4.5350659638643202E-2</v>
      </c>
      <c r="I29" s="3">
        <v>3.6019254475831902E-2</v>
      </c>
      <c r="J29" s="3">
        <v>6.1529178172349902E-2</v>
      </c>
      <c r="K29" s="3">
        <v>6.0399137437343597E-2</v>
      </c>
      <c r="L29" s="3">
        <v>4.2234882712364197E-2</v>
      </c>
      <c r="M29" s="3">
        <v>4.1683498769998502E-2</v>
      </c>
      <c r="N29" s="3">
        <v>5.07066920399665E-2</v>
      </c>
      <c r="O29" s="3">
        <v>6.3531391322612707E-2</v>
      </c>
      <c r="P29" s="3">
        <v>5.0004865974187802E-2</v>
      </c>
      <c r="Q29" s="3">
        <v>0.14335274696350001</v>
      </c>
      <c r="R29" s="3">
        <v>0.105687201023101</v>
      </c>
      <c r="S29" s="3">
        <v>2.5073217228055E-2</v>
      </c>
    </row>
    <row r="30" spans="1:20" x14ac:dyDescent="0.35">
      <c r="A30" s="1" t="s">
        <v>28</v>
      </c>
      <c r="B30" s="3">
        <v>2.4633441120386099E-2</v>
      </c>
      <c r="C30" s="3">
        <v>6.3685141503810799E-2</v>
      </c>
      <c r="D30" s="3">
        <v>4.2133241891860899E-2</v>
      </c>
      <c r="E30" s="3">
        <v>4.61321137845516E-2</v>
      </c>
      <c r="F30" s="3">
        <v>5.3538408130407299E-2</v>
      </c>
      <c r="G30" s="3">
        <v>4.8240512609481798E-2</v>
      </c>
      <c r="H30" s="3">
        <v>4.4095944613218301E-2</v>
      </c>
      <c r="I30" s="3">
        <v>4.2832728475332198E-2</v>
      </c>
      <c r="J30" s="3">
        <v>3.07889878749847E-2</v>
      </c>
      <c r="K30" s="3">
        <v>5.1202870905399302E-2</v>
      </c>
      <c r="L30" s="3">
        <v>3.9389472454786301E-2</v>
      </c>
      <c r="M30" s="3">
        <v>4.7991074621677399E-2</v>
      </c>
      <c r="N30" s="3">
        <v>6.2089838087558698E-2</v>
      </c>
      <c r="O30" s="3">
        <v>4.9621410667896201E-2</v>
      </c>
      <c r="P30" s="3">
        <v>4.2673073709011002E-2</v>
      </c>
      <c r="Q30" s="3">
        <v>0.14512445032596499</v>
      </c>
      <c r="R30" s="3">
        <v>0.137429729104042</v>
      </c>
      <c r="S30" s="3">
        <v>2.83975284546613E-2</v>
      </c>
    </row>
    <row r="31" spans="1:20" x14ac:dyDescent="0.35">
      <c r="A31" s="1" t="s">
        <v>29</v>
      </c>
      <c r="B31" s="3">
        <v>4.2760752141475601E-2</v>
      </c>
      <c r="C31" s="3">
        <v>8.7081491947174003E-3</v>
      </c>
      <c r="D31" s="3">
        <v>0.21198244392871801</v>
      </c>
      <c r="E31" s="3">
        <v>5.6648064404726001E-2</v>
      </c>
      <c r="F31" s="3">
        <v>6.8516612052917397E-2</v>
      </c>
      <c r="G31" s="3">
        <v>7.7253051102161394E-2</v>
      </c>
      <c r="H31" s="3">
        <v>4.2694661766290602E-2</v>
      </c>
      <c r="I31" s="3">
        <v>4.2273100465536097E-2</v>
      </c>
      <c r="J31" s="3">
        <v>2.8217464685440001E-2</v>
      </c>
      <c r="K31" s="3">
        <v>3.0956704169511701E-2</v>
      </c>
      <c r="L31" s="3">
        <v>5.0611168146133402E-2</v>
      </c>
      <c r="M31" s="3">
        <v>5.8941025286912897E-2</v>
      </c>
      <c r="N31" s="3">
        <v>5.4212860763072898E-2</v>
      </c>
      <c r="O31" s="3">
        <v>4.4426269829273203E-2</v>
      </c>
      <c r="P31" s="3">
        <v>4.3608460575342102E-2</v>
      </c>
      <c r="Q31" s="3">
        <v>6.0315806418657303E-2</v>
      </c>
      <c r="R31" s="3">
        <v>7.7873520553112002E-2</v>
      </c>
      <c r="S31" s="3">
        <v>0</v>
      </c>
    </row>
    <row r="33" spans="1:19" x14ac:dyDescent="0.35">
      <c r="A33" s="1" t="s">
        <v>31</v>
      </c>
      <c r="B33" s="4">
        <f>SUM(B21:B31)</f>
        <v>0.5011830553412433</v>
      </c>
      <c r="C33" s="4">
        <f t="shared" ref="C33:S33" si="0">SUM(C21:C31)</f>
        <v>0.34843561239540533</v>
      </c>
      <c r="D33" s="4">
        <f t="shared" si="0"/>
        <v>0.69884038716554542</v>
      </c>
      <c r="E33" s="4">
        <f t="shared" si="0"/>
        <v>0.49920767359435514</v>
      </c>
      <c r="F33" s="4">
        <f t="shared" si="0"/>
        <v>0.75869697704911088</v>
      </c>
      <c r="G33" s="4">
        <f t="shared" si="0"/>
        <v>0.5556702837347981</v>
      </c>
      <c r="H33" s="4">
        <f t="shared" si="0"/>
        <v>0.53159353509545282</v>
      </c>
      <c r="I33" s="4">
        <f t="shared" si="0"/>
        <v>0.47518633306026431</v>
      </c>
      <c r="J33" s="4">
        <f t="shared" si="0"/>
        <v>0.56679116562008802</v>
      </c>
      <c r="K33" s="4">
        <f t="shared" si="0"/>
        <v>0.54693137481808618</v>
      </c>
      <c r="L33" s="4">
        <f t="shared" si="0"/>
        <v>0.57475285232067064</v>
      </c>
      <c r="M33" s="4">
        <f t="shared" si="0"/>
        <v>0.5877466537058349</v>
      </c>
      <c r="N33" s="4">
        <f t="shared" si="0"/>
        <v>0.56614765897393171</v>
      </c>
      <c r="O33" s="4">
        <f t="shared" si="0"/>
        <v>0.57600580155849412</v>
      </c>
      <c r="P33" s="4">
        <f t="shared" si="0"/>
        <v>0.56203287839889482</v>
      </c>
      <c r="Q33" s="4">
        <f t="shared" si="0"/>
        <v>1.1694210208952387</v>
      </c>
      <c r="R33" s="4">
        <f t="shared" si="0"/>
        <v>1.215964831411835</v>
      </c>
      <c r="S33" s="4">
        <f t="shared" si="0"/>
        <v>0.17401231080293639</v>
      </c>
    </row>
  </sheetData>
  <autoFilter ref="B1:T12" xr:uid="{5EE3A1B3-3B33-4D5E-90B0-93459D716AED}"/>
  <conditionalFormatting sqref="B2:T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{53B7C711-01EC-487F-9F7B-DCD9E4A34F5B}</x14:id>
        </ext>
      </extLst>
    </cfRule>
  </conditionalFormatting>
  <conditionalFormatting sqref="B21:T3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3:S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B7C711-01EC-487F-9F7B-DCD9E4A34F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B2:T12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Nikolic</dc:creator>
  <cp:lastModifiedBy>Marek Nikolic</cp:lastModifiedBy>
  <dcterms:created xsi:type="dcterms:W3CDTF">2025-10-30T12:43:46Z</dcterms:created>
  <dcterms:modified xsi:type="dcterms:W3CDTF">2025-10-30T12:59:09Z</dcterms:modified>
</cp:coreProperties>
</file>